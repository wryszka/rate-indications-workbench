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ion" sheetId="1" state="visible" r:id="rId1"/>
    <sheet name="Assumptions" sheetId="2" state="visible" r:id="rId2"/>
    <sheet name="Experi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808080"/>
    </font>
    <font>
      <b val="1"/>
      <color rgb="00FFFFFF"/>
    </font>
    <font>
      <b val="1"/>
    </font>
    <font>
      <b val="1"/>
      <sz val="14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1" fillId="2" borderId="0" pivotButton="0" quotePrefix="0" xfId="0"/>
    <xf numFmtId="164" fontId="0" fillId="2" borderId="0" pivotButton="0" quotePrefix="0" xfId="0"/>
    <xf numFmtId="0" fontId="6" fillId="0" borderId="0" pivotButton="0" quotePrefix="0" xfId="0"/>
    <xf numFmtId="0" fontId="1" fillId="0" borderId="0" pivotButton="0" quotePrefix="0" xfId="0"/>
    <xf numFmtId="165" fontId="0" fillId="2" borderId="0" pivotButton="0" quotePrefix="0" xfId="0"/>
    <xf numFmtId="1" fontId="0" fillId="2" borderId="0" pivotButton="0" quotePrefix="0" xfId="0"/>
    <xf numFmtId="0" fontId="3" fillId="3" borderId="0" applyAlignment="1" pivotButton="0" quotePrefix="0" xfId="0">
      <alignment horizontal="right"/>
    </xf>
    <xf numFmtId="3" fontId="0" fillId="0" borderId="0" pivotButton="0" quotePrefix="0" xfId="0"/>
    <xf numFmtId="165" fontId="0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actuary</author>
  </authors>
  <commentList>
    <comment ref="B4" authorId="0" shapeId="0">
      <text>
        <t>gut feel off latest large claims — check with claims?</t>
      </text>
    </comment>
    <comment ref="B6" authorId="0" shapeId="0">
      <text>
        <t>picked off the triangle tab, roughly</t>
      </text>
    </comment>
    <comment ref="B9" authorId="0" shapeId="0">
      <text>
        <t>we always use 0.75 for GL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1" t="inlineStr">
        <is>
          <t>GL / GERMANY — 2027 RATE INDICATION</t>
        </is>
      </c>
    </row>
    <row r="2">
      <c r="A2" s="2" t="inlineStr">
        <is>
          <t>prepared by: a.actuary   ·   file: Indication_GL_DE_2027_v7_FINAL.xlsx   ·   SYNTHETIC</t>
        </is>
      </c>
    </row>
    <row r="4">
      <c r="A4" t="inlineStr">
        <is>
          <t>Experience loss ratio (on-level, developed, trended)</t>
        </is>
      </c>
      <c r="B4" s="3">
        <f>Experience!$K$7/Experience!$F$7</f>
        <v/>
      </c>
    </row>
    <row r="5">
      <c r="A5" t="inlineStr">
        <is>
          <t>+ loads (large-loss, cat)</t>
        </is>
      </c>
      <c r="B5" s="3">
        <f>B4*(1+Assumptions!$B$7)+Assumptions!$B$8</f>
        <v/>
      </c>
    </row>
    <row r="6">
      <c r="A6" t="inlineStr">
        <is>
          <t>Permissible loss ratio  = 1 - (expenses+commission+RI+profit)</t>
        </is>
      </c>
      <c r="B6" s="3">
        <f>1-(Assumptions!$B$11+Assumptions!$B$12+Assumptions!$B$13+Assumptions!$B$14)</f>
        <v/>
      </c>
    </row>
    <row r="7">
      <c r="A7" t="inlineStr">
        <is>
          <t>Credibility-weighted projected loss ratio</t>
        </is>
      </c>
      <c r="B7" s="3">
        <f>Assumptions!$B$9*B5+(1-Assumptions!$B$9)*B6</f>
        <v/>
      </c>
    </row>
    <row r="8">
      <c r="A8" s="4" t="inlineStr">
        <is>
          <t>INDICATED RATE CHANGE  = projected / permissible - 1</t>
        </is>
      </c>
      <c r="B8" s="5">
        <f>B7/B6-1</f>
        <v/>
      </c>
    </row>
    <row r="10">
      <c r="A10" t="inlineStr">
        <is>
          <t xml:space="preserve">Selected rate change (mgmt): </t>
        </is>
      </c>
      <c r="B10" s="6" t="n">
        <v>0</v>
      </c>
    </row>
    <row r="11">
      <c r="A11" t="inlineStr">
        <is>
          <t>Sign-off:</t>
        </is>
      </c>
      <c r="B11" s="7" t="inlineStr">
        <is>
          <t>(pending — see email thread)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8" t="inlineStr">
        <is>
          <t>GL / Germany — 2027 rate indication — ASSUMPTIONS</t>
        </is>
      </c>
    </row>
    <row r="2">
      <c r="A2" s="2" t="inlineStr">
        <is>
          <t>Bricksurance SE (SYNTHETIC / illustrative)</t>
        </is>
      </c>
    </row>
    <row r="4">
      <c r="A4" t="inlineStr">
        <is>
          <t>Severity trend</t>
        </is>
      </c>
      <c r="B4" s="6" t="n">
        <v>0.055</v>
      </c>
    </row>
    <row r="5">
      <c r="A5" t="inlineStr">
        <is>
          <t>Frequency trend</t>
        </is>
      </c>
      <c r="B5" s="6" t="n">
        <v>-0.015</v>
      </c>
    </row>
    <row r="6">
      <c r="A6" t="inlineStr">
        <is>
          <t>Selected development factor (tail)</t>
        </is>
      </c>
      <c r="B6" s="9" t="n">
        <v>1.18</v>
      </c>
    </row>
    <row r="7">
      <c r="A7" t="inlineStr">
        <is>
          <t>Large-loss load</t>
        </is>
      </c>
      <c r="B7" s="6" t="n">
        <v>0.05</v>
      </c>
    </row>
    <row r="8">
      <c r="A8" t="inlineStr">
        <is>
          <t>Catastrophe load</t>
        </is>
      </c>
      <c r="B8" s="6" t="n">
        <v>0.005</v>
      </c>
    </row>
    <row r="9">
      <c r="A9" t="inlineStr">
        <is>
          <t>Credibility (Z)</t>
        </is>
      </c>
      <c r="B9" s="6" t="n">
        <v>0.75</v>
      </c>
    </row>
    <row r="10">
      <c r="A10" t="inlineStr">
        <is>
          <t>Experience period (years)</t>
        </is>
      </c>
      <c r="B10" s="10" t="n">
        <v>5</v>
      </c>
    </row>
    <row r="11">
      <c r="A11" t="inlineStr">
        <is>
          <t>Expense ratio</t>
        </is>
      </c>
      <c r="B11" s="6" t="n">
        <v>0.185</v>
      </c>
    </row>
    <row r="12">
      <c r="A12" t="inlineStr">
        <is>
          <t>Commission ratio</t>
        </is>
      </c>
      <c r="B12" s="6" t="n">
        <v>0.125</v>
      </c>
    </row>
    <row r="13">
      <c r="A13" t="inlineStr">
        <is>
          <t>Reinsurance load</t>
        </is>
      </c>
      <c r="B13" s="6" t="n">
        <v>0.03</v>
      </c>
    </row>
    <row r="14">
      <c r="A14" t="inlineStr">
        <is>
          <t>Profit &amp; contingency</t>
        </is>
      </c>
      <c r="B14" s="6" t="n">
        <v>0.05</v>
      </c>
    </row>
    <row r="15">
      <c r="A15" t="inlineStr">
        <is>
          <t>Current rate level index</t>
        </is>
      </c>
      <c r="B15" s="9" t="n">
        <v>1.1771</v>
      </c>
    </row>
    <row r="16">
      <c r="A16" t="inlineStr">
        <is>
          <t>Latest-year empirical LDF</t>
        </is>
      </c>
      <c r="B16" s="9" t="n">
        <v>1.22</v>
      </c>
    </row>
    <row r="17">
      <c r="A17" t="inlineStr">
        <is>
          <t>Prospective period</t>
        </is>
      </c>
      <c r="B17" s="10" t="n">
        <v>2027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0" customWidth="1" min="4" max="4"/>
    <col width="12" customWidth="1" min="5" max="5"/>
    <col width="15" customWidth="1" min="6" max="6"/>
    <col width="9" customWidth="1" min="7" max="7"/>
    <col width="14" customWidth="1" min="8" max="8"/>
    <col width="9" customWidth="1" min="9" max="9"/>
    <col width="12" customWidth="1" min="10" max="10"/>
    <col width="15" customWidth="1" min="11" max="11"/>
    <col width="10" customWidth="1" min="12" max="12"/>
  </cols>
  <sheetData>
    <row r="1">
      <c r="A1" s="11" t="inlineStr">
        <is>
          <t>Accident year</t>
        </is>
      </c>
      <c r="B1" s="11" t="inlineStr">
        <is>
          <t>Earned premium</t>
        </is>
      </c>
      <c r="C1" s="11" t="inlineStr">
        <is>
          <t>Reported incurred</t>
        </is>
      </c>
      <c r="D1" s="11" t="inlineStr">
        <is>
          <t>Rate index</t>
        </is>
      </c>
      <c r="E1" s="11" t="inlineStr">
        <is>
          <t>Empirical LDF</t>
        </is>
      </c>
      <c r="F1" s="11" t="inlineStr">
        <is>
          <t>On-level premium</t>
        </is>
      </c>
      <c r="G1" s="11" t="inlineStr">
        <is>
          <t>Eff. LDF</t>
        </is>
      </c>
      <c r="H1" s="11" t="inlineStr">
        <is>
          <t>Ultimate</t>
        </is>
      </c>
      <c r="I1" s="11" t="inlineStr">
        <is>
          <t>Trend yrs</t>
        </is>
      </c>
      <c r="J1" s="11" t="inlineStr">
        <is>
          <t>Trend factor</t>
        </is>
      </c>
      <c r="K1" s="11" t="inlineStr">
        <is>
          <t>Trended ultimate</t>
        </is>
      </c>
      <c r="L1" s="11" t="inlineStr">
        <is>
          <t>Loss ratio</t>
        </is>
      </c>
    </row>
    <row r="2">
      <c r="A2" t="n">
        <v>2021</v>
      </c>
      <c r="B2" s="12" t="n">
        <v>7685258</v>
      </c>
      <c r="C2" s="12" t="n">
        <v>4103950</v>
      </c>
      <c r="D2" s="13" t="n">
        <v>1.0737</v>
      </c>
      <c r="E2" s="13" t="n">
        <v>1.0325</v>
      </c>
      <c r="F2" s="12">
        <f>B2*(Assumptions!$B$15/D2)</f>
        <v/>
      </c>
      <c r="G2" s="13">
        <f>1+(E2-1)*(Assumptions!$B$6/Assumptions!$B$16)</f>
        <v/>
      </c>
      <c r="H2" s="12">
        <f>C2*G2</f>
        <v/>
      </c>
      <c r="I2">
        <f>Assumptions!$B$17-A2</f>
        <v/>
      </c>
      <c r="J2" s="13">
        <f>(1+Assumptions!$B$5)^I2*(1+Assumptions!$B$4)^I2</f>
        <v/>
      </c>
      <c r="K2" s="12">
        <f>H2*J2</f>
        <v/>
      </c>
      <c r="L2" s="3">
        <f>K2/F2</f>
        <v/>
      </c>
    </row>
    <row r="3">
      <c r="A3" t="n">
        <v>2022</v>
      </c>
      <c r="B3" s="12" t="n">
        <v>8187260</v>
      </c>
      <c r="C3" s="12" t="n">
        <v>4501769</v>
      </c>
      <c r="D3" s="13" t="n">
        <v>1.0897</v>
      </c>
      <c r="E3" s="13" t="n">
        <v>1.0524</v>
      </c>
      <c r="F3" s="12">
        <f>B3*(Assumptions!$B$15/D3)</f>
        <v/>
      </c>
      <c r="G3" s="13">
        <f>1+(E3-1)*(Assumptions!$B$6/Assumptions!$B$16)</f>
        <v/>
      </c>
      <c r="H3" s="12">
        <f>C3*G3</f>
        <v/>
      </c>
      <c r="I3">
        <f>Assumptions!$B$17-A3</f>
        <v/>
      </c>
      <c r="J3" s="13">
        <f>(1+Assumptions!$B$5)^I3*(1+Assumptions!$B$4)^I3</f>
        <v/>
      </c>
      <c r="K3" s="12">
        <f>H3*J3</f>
        <v/>
      </c>
      <c r="L3" s="3">
        <f>K3/F3</f>
        <v/>
      </c>
    </row>
    <row r="4">
      <c r="A4" t="n">
        <v>2023</v>
      </c>
      <c r="B4" s="12" t="n">
        <v>8492577</v>
      </c>
      <c r="C4" s="12" t="n">
        <v>4599359</v>
      </c>
      <c r="D4" s="13" t="n">
        <v>1.0902</v>
      </c>
      <c r="E4" s="13" t="n">
        <v>1.0846</v>
      </c>
      <c r="F4" s="12">
        <f>B4*(Assumptions!$B$15/D4)</f>
        <v/>
      </c>
      <c r="G4" s="13">
        <f>1+(E4-1)*(Assumptions!$B$6/Assumptions!$B$16)</f>
        <v/>
      </c>
      <c r="H4" s="12">
        <f>C4*G4</f>
        <v/>
      </c>
      <c r="I4">
        <f>Assumptions!$B$17-A4</f>
        <v/>
      </c>
      <c r="J4" s="13">
        <f>(1+Assumptions!$B$5)^I4*(1+Assumptions!$B$4)^I4</f>
        <v/>
      </c>
      <c r="K4" s="12">
        <f>H4*J4</f>
        <v/>
      </c>
      <c r="L4" s="3">
        <f>K4/F4</f>
        <v/>
      </c>
    </row>
    <row r="5">
      <c r="A5" t="n">
        <v>2024</v>
      </c>
      <c r="B5" s="12" t="n">
        <v>8714125</v>
      </c>
      <c r="C5" s="12" t="n">
        <v>4379094</v>
      </c>
      <c r="D5" s="13" t="n">
        <v>1.1258</v>
      </c>
      <c r="E5" s="13" t="n">
        <v>1.1364</v>
      </c>
      <c r="F5" s="12">
        <f>B5*(Assumptions!$B$15/D5)</f>
        <v/>
      </c>
      <c r="G5" s="13">
        <f>1+(E5-1)*(Assumptions!$B$6/Assumptions!$B$16)</f>
        <v/>
      </c>
      <c r="H5" s="12">
        <f>C5*G5</f>
        <v/>
      </c>
      <c r="I5">
        <f>Assumptions!$B$17-A5</f>
        <v/>
      </c>
      <c r="J5" s="13">
        <f>(1+Assumptions!$B$5)^I5*(1+Assumptions!$B$4)^I5</f>
        <v/>
      </c>
      <c r="K5" s="12">
        <f>H5*J5</f>
        <v/>
      </c>
      <c r="L5" s="3">
        <f>K5/F5</f>
        <v/>
      </c>
    </row>
    <row r="6">
      <c r="A6" t="n">
        <v>2025</v>
      </c>
      <c r="B6" s="12" t="n">
        <v>9019574</v>
      </c>
      <c r="C6" s="12" t="n">
        <v>4218501</v>
      </c>
      <c r="D6" s="13" t="n">
        <v>1.1771</v>
      </c>
      <c r="E6" s="13" t="n">
        <v>1.22</v>
      </c>
      <c r="F6" s="12">
        <f>B6*(Assumptions!$B$15/D6)</f>
        <v/>
      </c>
      <c r="G6" s="13">
        <f>1+(E6-1)*(Assumptions!$B$6/Assumptions!$B$16)</f>
        <v/>
      </c>
      <c r="H6" s="12">
        <f>C6*G6</f>
        <v/>
      </c>
      <c r="I6">
        <f>Assumptions!$B$17-A6</f>
        <v/>
      </c>
      <c r="J6" s="13">
        <f>(1+Assumptions!$B$5)^I6*(1+Assumptions!$B$4)^I6</f>
        <v/>
      </c>
      <c r="K6" s="12">
        <f>H6*J6</f>
        <v/>
      </c>
      <c r="L6" s="3">
        <f>K6/F6</f>
        <v/>
      </c>
    </row>
    <row r="7">
      <c r="A7" s="4" t="inlineStr">
        <is>
          <t>Total</t>
        </is>
      </c>
      <c r="F7" s="14">
        <f>SUM(F2:F6)</f>
        <v/>
      </c>
      <c r="K7" s="14">
        <f>SUM(K2:K6)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2026-09-23T13:30:24Z</dcterms:created>
  <dcterms:modified xsi:type="dcterms:W3CDTF">2026-09-23T13:30:24Z</dcterms:modified>
</cp:coreProperties>
</file>